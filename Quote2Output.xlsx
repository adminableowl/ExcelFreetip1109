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D:\d\Mag\FreeTips\Tip1109\"/>
    </mc:Choice>
  </mc:AlternateContent>
  <xr:revisionPtr revIDLastSave="0" documentId="8_{EB559AE1-4044-4DC1-9D15-5879DBD1DE98}" xr6:coauthVersionLast="47" xr6:coauthVersionMax="47" xr10:uidLastSave="{00000000-0000-0000-0000-000000000000}"/>
  <bookViews>
    <workbookView xWindow="-120" yWindow="-120" windowWidth="29040" windowHeight="17520" xr2:uid="{7469C729-03EC-4868-B187-FF86E0DBF773}"/>
  </bookViews>
  <sheets>
    <sheet name="Sheet1" sheetId="1" r:id="rId1"/>
    <sheet name="Prompts" sheetId="5" r:id="rId2"/>
  </sheets>
  <definedNames>
    <definedName name="deQuoteFilename">Sheet1!$B$14</definedName>
    <definedName name="ExternalData_2" localSheetId="0" hidden="1">Sheet1!$A$2:$C$3</definedName>
    <definedName name="_xlnm.Print_Area" localSheetId="0">GetQuoteData[#All]</definedName>
    <definedName name="_xlnm.Print_Titles" localSheetId="0">Sheet1!$11:$15</definedName>
  </definedNames>
  <calcPr calcId="191029"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6" i="1" l="1"/>
  <c r="F17" i="1"/>
  <c r="F18" i="1"/>
  <c r="F19" i="1"/>
  <c r="F20" i="1"/>
  <c r="B13" i="1" a="1"/>
  <c r="B13" i="1" s="1"/>
  <c r="B12" i="1" a="1"/>
  <c r="B12" i="1" s="1"/>
  <c r="F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Oulton</author>
  </authors>
  <commentList>
    <comment ref="B14" authorId="0" shapeId="0" xr:uid="{12FF5B76-1BFC-4E94-A2BB-3CCE36AFD7DF}">
      <text>
        <r>
          <rPr>
            <b/>
            <sz val="9"/>
            <color indexed="81"/>
            <rFont val="Tahoma"/>
            <family val="2"/>
          </rPr>
          <t>Named range deQuoteFilename. SelectPDFFileForQuote should write the selected PDF path here; the wrapper macro then refreshes GetQuoteParams and GetQuoteData.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AE184-7CC5-4DD0-B880-4945B124B271}" keepAlive="1" name="Query - GetQuoteParams" description="Connection to the 'GetQuoteParams' query in the workbook." type="5" refreshedVersion="8" background="1" saveData="1">
    <dbPr connection="Provider=Microsoft.Mashup.OleDb.1;Data Source=$Workbook$;Location=GetQuoteParams;Extended Properties=&quot;&quot;" command="SELECT * FROM [GetQuoteParam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<sst xmlns="http://schemas.openxmlformats.org/spreadsheetml/2006/main" count="33" uniqueCount="26">
  <si>
    <t>Qty</t>
  </si>
  <si>
    <t>U/M</t>
  </si>
  <si>
    <t>Unit price</t>
  </si>
  <si>
    <t>PartID</t>
  </si>
  <si>
    <t>Description</t>
  </si>
  <si>
    <t>Total price</t>
  </si>
  <si>
    <t>Quote</t>
  </si>
  <si>
    <t>EA</t>
  </si>
  <si>
    <t>Total</t>
  </si>
  <si>
    <t>Quote no</t>
  </si>
  <si>
    <t>Quote date</t>
  </si>
  <si>
    <t>Quote file</t>
  </si>
  <si>
    <t>PDF filename</t>
  </si>
  <si>
    <t>Prices excl GST</t>
  </si>
  <si>
    <t>44720</t>
  </si>
  <si>
    <t>ER10000115K</t>
  </si>
  <si>
    <t>HIGH VOLTAGE INTERLOCK. DC shorting bar High Voltage Interlock Group to suit EH5000 AC3 DC shorting bar. Includes fortress locks and associated parts. **DOES NOT INCLUDE BATTERY LOCKOUT**</t>
  </si>
  <si>
    <t>E50001602</t>
  </si>
  <si>
    <t>Safe Lock Bracket Group Safe Lock Bracket Group to suit Locksafe lockouts Suit bosch quadruple pole lockout</t>
  </si>
  <si>
    <t>ER10007595K</t>
  </si>
  <si>
    <t>Isolation Box Mounting Group Isolation Box Mounting Group Includes Headlight Relocation Brackets, to Suit Fitment of Milliwave Radar</t>
  </si>
  <si>
    <t>ER10003032</t>
  </si>
  <si>
    <t>Dual Pole Isolation Group Dual pole isolator group 22/04/2026</t>
  </si>
  <si>
    <t>E50001588</t>
  </si>
  <si>
    <t>Antislip Kit Ordered with ACE033777</t>
  </si>
  <si>
    <t>D:\d\Mag\FreeTips\Tip1090\Quote2.pdf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</si>
</sst>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m/d/yyyy"/>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b/>
      <sz val="16"/>
      <color theme="1"/>
      <name val="Aptos Narrow"/>
      <family val="2"/>
      <scheme val="minor"/>
    </font>
    <font>
      <b/>
      <sz val="9"/>
      <color indexed="81"/>
      <name val="Tahoma"/>
      <family val="2"/>
    </font>
    <font>
      <sz val="12"/>
      <color rgb="FF0070C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2" fillId="0" borderId="0" xfId="0" applyFont="1"/>
    <xf numFmtId="164" fontId="0" fillId="0" borderId="0" xfId="1" applyNumberFormat="1" applyFont="1"/>
    <xf numFmtId="44" fontId="0" fillId="0" borderId="0" xfId="2" applyFont="1"/>
    <xf numFmtId="14" fontId="0" fillId="0" borderId="0" xfId="0" applyNumberFormat="1"/>
    <xf numFmtId="165" fontId="0" fillId="0" borderId="0" xfId="0" applyNumberFormat="1"/>
    <xf numFmtId="0" fontId="1" fillId="0" borderId="0" xfId="0" applyFont="1"/>
    <xf numFmtId="44" fontId="2" fillId="0" borderId="0" xfId="0" applyNumberFormat="1" applyFont="1"/>
    <xf numFmtId="0" fontId="0" fillId="0" borderId="0" xfId="0" applyAlignment="1">
      <alignment wrapText="1"/>
    </xf>
    <xf numFmtId="0" fontId="3" fillId="0" borderId="0" xfId="0" applyFont="1"/>
    <xf numFmtId="0" fontId="0" fillId="0" borderId="0" xfId="0" applyAlignment="1">
      <alignment horizontal="left"/>
    </xf>
    <xf numFmtId="14" fontId="0" fillId="0" borderId="0" xfId="0" applyNumberFormat="1" applyAlignment="1">
      <alignment horizontal="left"/>
    </xf>
    <xf numFmtId="44" fontId="0" fillId="0" borderId="0" xfId="0" applyNumberFormat="1"/>
    <xf numFmtId="0" fontId="0" fillId="0" borderId="0" xfId="0" applyAlignment="1">
      <alignment horizontal="right"/>
    </xf>
    <xf numFmtId="14" fontId="5" fillId="0" borderId="0" xfId="0" applyNumberFormat="1" applyFont="1" applyAlignment="1">
      <alignment horizontal="left"/>
    </xf>
  </cellXfs>
  <cellStyles count="3">
    <cellStyle name="Comma" xfId="1" builtinId="3"/>
    <cellStyle name="Currency" xfId="2" builtinId="4"/>
    <cellStyle name="Normal" xfId="0" builtinId="0"/>
  </cellStyles>
  <dxfs count="11">
    <dxf>
      <font>
        <b val="0"/>
        <i val="0"/>
        <strike val="0"/>
        <condense val="0"/>
        <extend val="0"/>
        <outline val="0"/>
        <shadow val="0"/>
        <u val="none"/>
        <vertAlign val="baseline"/>
        <sz val="12"/>
        <color theme="1"/>
        <name val="Aptos Narrow"/>
        <family val="2"/>
        <scheme val="minor"/>
      </font>
    </dxf>
    <dxf>
      <numFmt numFmtId="164" formatCode="_(* #,##0_);_(* \(#,##0\);_(* &quot;-&quot;??_);_(@_)"/>
    </dxf>
    <dxf>
      <font>
        <b val="0"/>
        <i val="0"/>
        <strike val="0"/>
        <condense val="0"/>
        <extend val="0"/>
        <outline val="0"/>
        <shadow val="0"/>
        <u val="none"/>
        <vertAlign val="baseline"/>
        <sz val="12"/>
        <color theme="1"/>
        <name val="Aptos Narrow"/>
        <family val="2"/>
        <scheme val="minor"/>
      </font>
    </dxf>
    <dxf>
      <numFmt numFmtId="0" formatCode="General"/>
      <alignment horizontal="general" vertical="bottom" textRotation="0" wrapText="1" indent="0" justifyLastLine="0" shrinkToFit="0" readingOrder="0"/>
    </dxf>
    <dxf>
      <numFmt numFmtId="19" formatCode="d/mm/yyyy"/>
    </dxf>
    <dxf>
      <alignment horizontal="general" vertical="bottom" textRotation="0" wrapText="1" indent="0" justifyLastLine="0" shrinkToFit="0" readingOrder="0"/>
    </dxf>
    <dxf>
      <numFmt numFmtId="34" formatCode="_(&quot;$&quot;* #,##0.00_);_(&quot;$&quot;* \(#,##0.00\);_(&quot;$&quot;* &quot;-&quot;??_);_(@_)"/>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9525</xdr:colOff>
      <xdr:row>21</xdr:row>
      <xdr:rowOff>9525</xdr:rowOff>
    </xdr:to>
    <xdr:sp macro="" textlink="">
      <xdr:nvSpPr>
        <xdr:cNvPr id="2" name="TextBox 1">
          <a:extLst>
            <a:ext uri="{FF2B5EF4-FFF2-40B4-BE49-F238E27FC236}">
              <a16:creationId xmlns:a16="http://schemas.microsoft.com/office/drawing/2014/main" id="{A0BB6DC7-DC1F-4CC3-A4ED-16D9C96E54E0}"/>
            </a:ext>
          </a:extLst>
        </xdr:cNvPr>
        <xdr:cNvSpPr txBox="1"/>
      </xdr:nvSpPr>
      <xdr:spPr>
        <a:xfrm>
          <a:off x="0" y="0"/>
          <a:ext cx="6181725" cy="421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Create a macro to prompt for selection of PDF file and put the selected filename and path in the cell named deQuoteFilename</a:t>
          </a:r>
          <a:endParaRPr lang="en-NZ" sz="1600"/>
        </a:p>
        <a:p>
          <a:pPr marL="0" marR="0" lvl="0" indent="0" defTabSz="914400" eaLnBrk="1" fontAlgn="auto" latinLnBrk="0" hangingPunct="1">
            <a:lnSpc>
              <a:spcPct val="100000"/>
            </a:lnSpc>
            <a:spcBef>
              <a:spcPts val="0"/>
            </a:spcBef>
            <a:spcAft>
              <a:spcPts val="0"/>
            </a:spcAft>
            <a:buClrTx/>
            <a:buSzTx/>
            <a:buFontTx/>
            <a:buNone/>
            <a:tabLst/>
            <a:defRPr/>
          </a:pPr>
          <a:endParaRPr lang="en-NZ" sz="1600"/>
        </a:p>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Write a Power Query to copy to the Advanced Editor that extracts the Quote no and Quote date from the PDF file like the one attached. The PDF path and file name is in the cell named deQuoteFilename</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sz="1100" b="0" i="0">
              <a:solidFill>
                <a:schemeClr val="dk1"/>
              </a:solidFill>
              <a:effectLst/>
              <a:latin typeface="+mn-lt"/>
              <a:ea typeface="+mn-ea"/>
              <a:cs typeface="+mn-cs"/>
            </a:rPr>
            <a:t>Create a Power query to import this PDF and similar other PDFs that have the same layout structure. Return columns PartID, Description, U/M, Unit price, Qty. he PDF path and file name is in the cell named deQuoteFilename</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NZ"/>
            <a:t>Create a macro that calls procedure SelectPDFFileForQuote and then refreshes the GetQuoteParams and GetQuoteData queries</a:t>
          </a:r>
        </a:p>
        <a:p>
          <a:pPr marL="0" marR="0" lvl="0" indent="0" defTabSz="914400" eaLnBrk="1" fontAlgn="auto" latinLnBrk="0" hangingPunct="1">
            <a:lnSpc>
              <a:spcPct val="100000"/>
            </a:lnSpc>
            <a:spcBef>
              <a:spcPts val="0"/>
            </a:spcBef>
            <a:spcAft>
              <a:spcPts val="0"/>
            </a:spcAft>
            <a:buClrTx/>
            <a:buSzTx/>
            <a:buFontTx/>
            <a:buNone/>
            <a:tabLst/>
            <a:defRPr/>
          </a:pPr>
          <a:endParaRPr lang="en-NZ" sz="1100" b="0"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NZ" sz="16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1" xr16:uid="{410FED00-F652-49F5-A304-6E43FFE05235}" autoFormatId="16" applyNumberFormats="0" applyBorderFormats="0" applyFontFormats="0" applyPatternFormats="0" applyAlignmentFormats="0" applyWidthHeightFormats="0">
  <queryTableRefresh nextId="4">
    <queryTableFields count="3">
      <queryTableField id="1" name="Quote no" tableColumnId="1"/>
      <queryTableField id="2" name="Quote date" tableColumnId="2"/>
      <queryTableField id="3" name="PDF filenam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F485B-3C96-45B9-9916-51AF7537E2A0}" name="GetQuoteParams" displayName="GetQuoteParams" ref="A2:C3" tableType="queryTable" totalsRowShown="0">
  <autoFilter ref="A2:C3" xr:uid="{FAEF485B-3C96-45B9-9916-51AF7537E2A0}"/>
  <tableColumns count="3">
    <tableColumn id="1" xr3:uid="{E734E401-5E89-4780-887C-157C19BB0798}" uniqueName="1" name="Quote no" queryTableFieldId="1" dataDxfId="10"/>
    <tableColumn id="2" xr3:uid="{40C994F4-9FD1-47FA-B123-6A818053C3A2}" uniqueName="2" name="Quote date" queryTableFieldId="2" dataDxfId="4"/>
    <tableColumn id="3" xr3:uid="{1F0F770C-E0D4-4D7D-A9B0-F64FD8605C1B}" uniqueName="3" name="PDF filename" queryTableFieldId="3"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DAE458-C7C3-404F-B98B-726CFD6DFFA6}" name="GetQuoteData" displayName="GetQuoteData" ref="A15:F21" totalsRowCount="1">
  <autoFilter ref="A15:F20" xr:uid="{77DAE458-C7C3-404F-B98B-726CFD6DFFA6}"/>
  <tableColumns count="6">
    <tableColumn id="1" xr3:uid="{D2E0535F-33E2-4FDD-A5B2-47B850238F14}" name="PartID" totalsRowLabel="Total" dataDxfId="8"/>
    <tableColumn id="2" xr3:uid="{4C4FAE6D-FB48-49E8-8D6E-2BEBFD251DF4}" name="Description" dataDxfId="3" totalsRowDxfId="5"/>
    <tableColumn id="3" xr3:uid="{0DE5F24A-7D40-4103-BF46-E230B10C86F9}" name="U/M" dataDxfId="7"/>
    <tableColumn id="4" xr3:uid="{08690917-A931-4BD1-982C-F63B0FF6868E}" name="Unit price" dataDxfId="2" dataCellStyle="Currency"/>
    <tableColumn id="5" xr3:uid="{ED31FEAF-4A13-410B-A4D7-62AE27E535C4}" name="Qty" dataDxfId="1" dataCellStyle="Comma"/>
    <tableColumn id="6" xr3:uid="{E609B177-A7A5-4111-A092-0912B2839AC2}" name="Total price" totalsRowFunction="sum" dataDxfId="0" totalsRowDxfId="6" dataCellStyle="Currency">
      <calculatedColumnFormula>GetQuoteData[[#This Row],[Unit price]]*GetQuoteData[[#This Row],[Qty]]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3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4942929-5F13-453A-9A76-25B3B917E6C5}">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D5C5-789A-4793-AA45-5956F57B8B9F}">
  <sheetPr codeName="Sheet1"/>
  <dimension ref="A2:G21"/>
  <sheetViews>
    <sheetView tabSelected="1" topLeftCell="A11" workbookViewId="0">
      <pane xSplit="2" ySplit="5" topLeftCell="C16" activePane="bottomRight" state="frozen"/>
      <selection activeCell="A11" sqref="A11"/>
      <selection pane="topRight" activeCell="C11" sqref="C11"/>
      <selection pane="bottomLeft" activeCell="A16" sqref="A16"/>
      <selection pane="bottomRight" activeCell="E16" sqref="E16"/>
    </sheetView>
  </sheetViews>
  <sheetFormatPr defaultRowHeight="15.75" x14ac:dyDescent="0.25"/>
  <cols>
    <col min="1" max="1" width="12.125" customWidth="1"/>
    <col min="2" max="2" width="40.625" customWidth="1"/>
    <col min="3" max="3" width="7.25" customWidth="1"/>
    <col min="4" max="4" width="11.625" customWidth="1"/>
    <col min="5" max="5" width="5.75" bestFit="1" customWidth="1"/>
    <col min="6" max="6" width="11.625" customWidth="1"/>
    <col min="7" max="7" width="11.375" bestFit="1" customWidth="1"/>
  </cols>
  <sheetData>
    <row r="2" spans="1:7" x14ac:dyDescent="0.25">
      <c r="A2" t="s">
        <v>9</v>
      </c>
      <c r="B2" t="s">
        <v>10</v>
      </c>
      <c r="C2" t="s">
        <v>12</v>
      </c>
    </row>
    <row r="3" spans="1:7" x14ac:dyDescent="0.25">
      <c r="A3" t="s">
        <v>14</v>
      </c>
      <c r="B3" s="4">
        <v>46134</v>
      </c>
      <c r="C3" t="s">
        <v>25</v>
      </c>
    </row>
    <row r="8" spans="1:7" x14ac:dyDescent="0.25">
      <c r="D8" s="6"/>
      <c r="E8" s="1"/>
      <c r="F8" s="7"/>
    </row>
    <row r="9" spans="1:7" x14ac:dyDescent="0.25">
      <c r="D9" s="6"/>
      <c r="E9" s="1"/>
      <c r="F9" s="7"/>
    </row>
    <row r="10" spans="1:7" x14ac:dyDescent="0.25">
      <c r="B10" s="4"/>
      <c r="D10" s="6"/>
      <c r="E10" s="1"/>
      <c r="F10" s="7"/>
    </row>
    <row r="11" spans="1:7" ht="21" x14ac:dyDescent="0.35">
      <c r="A11" s="9" t="s">
        <v>6</v>
      </c>
      <c r="D11" s="6"/>
      <c r="E11" s="1"/>
      <c r="F11" s="7"/>
    </row>
    <row r="12" spans="1:7" x14ac:dyDescent="0.25">
      <c r="A12" s="1" t="s">
        <v>9</v>
      </c>
      <c r="B12" s="10" t="str" cm="1">
        <f t="array" ref="B12">GetQuoteParams[Quote no]</f>
        <v>44720</v>
      </c>
      <c r="D12" s="3"/>
      <c r="G12" s="5"/>
    </row>
    <row r="13" spans="1:7" x14ac:dyDescent="0.25">
      <c r="A13" s="1" t="s">
        <v>10</v>
      </c>
      <c r="B13" s="11" cm="1">
        <f t="array" ref="B13">GetQuoteParams[Quote date]</f>
        <v>46134</v>
      </c>
      <c r="F13" s="13" t="s">
        <v>13</v>
      </c>
    </row>
    <row r="14" spans="1:7" x14ac:dyDescent="0.25">
      <c r="A14" s="1" t="s">
        <v>11</v>
      </c>
      <c r="B14" s="14" t="s">
        <v>25</v>
      </c>
    </row>
    <row r="15" spans="1:7" x14ac:dyDescent="0.25">
      <c r="A15" s="1" t="s">
        <v>3</v>
      </c>
      <c r="B15" t="s">
        <v>4</v>
      </c>
      <c r="C15" t="s">
        <v>1</v>
      </c>
      <c r="D15" t="s">
        <v>2</v>
      </c>
      <c r="E15" t="s">
        <v>0</v>
      </c>
      <c r="F15" t="s">
        <v>5</v>
      </c>
    </row>
    <row r="16" spans="1:7" ht="78.75" x14ac:dyDescent="0.25">
      <c r="A16" t="s">
        <v>15</v>
      </c>
      <c r="B16" s="8" t="s">
        <v>16</v>
      </c>
      <c r="C16" t="s">
        <v>7</v>
      </c>
      <c r="D16" s="3">
        <v>1430</v>
      </c>
      <c r="E16" s="2">
        <v>1</v>
      </c>
      <c r="F16" s="3">
        <f>GetQuoteData[[#This Row],[Unit price]]*GetQuoteData[[#This Row],[Qty]]</f>
        <v>1430</v>
      </c>
    </row>
    <row r="17" spans="1:6" ht="47.25" x14ac:dyDescent="0.25">
      <c r="A17" t="s">
        <v>17</v>
      </c>
      <c r="B17" s="8" t="s">
        <v>18</v>
      </c>
      <c r="C17" t="s">
        <v>7</v>
      </c>
      <c r="D17" s="3">
        <v>800</v>
      </c>
      <c r="E17" s="2">
        <v>1</v>
      </c>
      <c r="F17" s="3">
        <f>GetQuoteData[[#This Row],[Unit price]]*GetQuoteData[[#This Row],[Qty]]</f>
        <v>800</v>
      </c>
    </row>
    <row r="18" spans="1:6" ht="47.25" x14ac:dyDescent="0.25">
      <c r="A18" t="s">
        <v>19</v>
      </c>
      <c r="B18" s="8" t="s">
        <v>20</v>
      </c>
      <c r="C18" t="s">
        <v>7</v>
      </c>
      <c r="D18" s="3">
        <v>750</v>
      </c>
      <c r="E18" s="2">
        <v>1</v>
      </c>
      <c r="F18" s="3">
        <f>GetQuoteData[[#This Row],[Unit price]]*GetQuoteData[[#This Row],[Qty]]</f>
        <v>750</v>
      </c>
    </row>
    <row r="19" spans="1:6" ht="31.5" x14ac:dyDescent="0.25">
      <c r="A19" t="s">
        <v>21</v>
      </c>
      <c r="B19" s="8" t="s">
        <v>22</v>
      </c>
      <c r="C19" t="s">
        <v>7</v>
      </c>
      <c r="D19" s="3">
        <v>1150</v>
      </c>
      <c r="E19" s="2">
        <v>1</v>
      </c>
      <c r="F19" s="3">
        <f>GetQuoteData[[#This Row],[Unit price]]*GetQuoteData[[#This Row],[Qty]]</f>
        <v>1150</v>
      </c>
    </row>
    <row r="20" spans="1:6" x14ac:dyDescent="0.25">
      <c r="A20" t="s">
        <v>23</v>
      </c>
      <c r="B20" s="8" t="s">
        <v>24</v>
      </c>
      <c r="C20" t="s">
        <v>7</v>
      </c>
      <c r="D20" s="3">
        <v>17.5</v>
      </c>
      <c r="E20" s="2">
        <v>1</v>
      </c>
      <c r="F20" s="3">
        <f>GetQuoteData[[#This Row],[Unit price]]*GetQuoteData[[#This Row],[Qty]]</f>
        <v>17.5</v>
      </c>
    </row>
    <row r="21" spans="1:6" x14ac:dyDescent="0.25">
      <c r="A21" t="s">
        <v>8</v>
      </c>
      <c r="B21" s="8"/>
      <c r="F21" s="12">
        <f>SUBTOTAL(109,GetQuoteData[Total price])</f>
        <v>4147.5</v>
      </c>
    </row>
  </sheetData>
  <pageMargins left="0.23622047244094491" right="0.23622047244094491" top="0.74803149606299213" bottom="0.74803149606299213" header="0.31496062992125984" footer="0.31496062992125984"/>
  <pageSetup paperSize="9" orientation="portrait"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DB0F-7017-4A24-9E86-349228AB286A}">
  <sheetPr codeName="Sheet19"/>
  <dimension ref="A1"/>
  <sheetViews>
    <sheetView workbookViewId="0">
      <selection activeCell="B27" sqref="B27"/>
    </sheetView>
  </sheetViews>
  <sheetFormatPr defaultRowHeight="15.7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9A9D0D-D60D-4742-B252-A339F4410A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Sheet1</vt:lpstr>
      <vt:lpstr>Prompts</vt:lpstr>
      <vt:lpstr>deQuoteFilename</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Oulton</dc:creator>
  <cp:lastModifiedBy>Paul Oulton</cp:lastModifiedBy>
  <cp:lastPrinted>2026-05-16T08:17:27Z</cp:lastPrinted>
  <dcterms:created xsi:type="dcterms:W3CDTF">2026-05-16T05:42:03Z</dcterms:created>
  <dcterms:modified xsi:type="dcterms:W3CDTF">2026-10-11T07:13:18Z</dcterms:modified>
</cp:coreProperties>
</file>
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codeName="ThisWorkbook" defaultThemeVersion="202300"/>
  <mc:AlternateContent xmlns:mc="http://schemas.openxmlformats.org/markup-compatibility/2006">
    <mc:Choice Requires="x15">
      <x15ac:absPath xmlns:x15ac="http://schemas.microsoft.com/office/spreadsheetml/2010/11/ac" url="D:\d\Mag\FreeTips\Tip1109\"/>
    </mc:Choice>
  </mc:AlternateContent>
  <xr:revisionPtr revIDLastSave="0" documentId="13_ncr:1_{D0B2C8D3-7868-467C-A801-5065E15FC028}" xr6:coauthVersionLast="47" xr6:coauthVersionMax="47" xr10:uidLastSave="{00000000-0000-0000-0000-000000000000}"/>
  <bookViews>
    <workbookView xWindow="-120" yWindow="-120" windowWidth="29040" windowHeight="17520" xr2:uid="{7469C729-03EC-4868-B187-FF86E0DBF773}"/>
  </bookViews>
  <sheets>
    <sheet name="Sheet1" sheetId="1" r:id="rId1"/>
    <sheet name="Prompts" sheetId="5" r:id="rId2"/>
  </sheets>
  <definedNames>
    <definedName name="deQuoteFilename">Sheet1!$B$14</definedName>
    <definedName name="ExternalData_2" localSheetId="0" hidden="1">Sheet1!$A$2:$C$3</definedName>
    <definedName name="_xlnm.Print_Area" localSheetId="0">GetQuoteData[#All]</definedName>
    <definedName name="_xlnm.Print_Titles" localSheetId="0">Sheet1!$11:$15</definedName>
  </definedNames>
  <calcPr calcId="191029" iterateCount="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16" i="1" l="1"/>
  <c r="F17" i="1"/>
  <c r="F18" i="1"/>
  <c r="F19" i="1"/>
  <c r="F20" i="1"/>
  <c r="B13" i="1" a="1"/>
  <c r="B13" i="1" s="1"/>
  <c r="B12" i="1" a="1"/>
  <c r="B12" i="1" s="1"/>
  <c r="F2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Oulton</author>
  </authors>
  <commentList>
    <comment ref="B14" authorId="0" shapeId="0" xr:uid="{12FF5B76-1BFC-4E94-A2BB-3CCE36AFD7DF}">
      <text>
        <r>
          <rPr>
            <b/>
            <sz val="9"/>
            <color indexed="81"/>
            <rFont val="Tahoma"/>
            <family val="2"/>
          </rPr>
          <t>Named range deQuoteFilename. SelectPDFFileForQuote should write the selected PDF path here; the wrapper macro then refreshes GetQuoteParams and GetQuoteData.</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3AE184-7CC5-4DD0-B880-4945B124B271}" keepAlive="1" name="Query - GetQuoteParams" description="Connection to the 'GetQuoteParams' query in the workbook." type="5" refreshedVersion="8" background="1" saveData="1">
    <dbPr connection="Provider=Microsoft.Mashup.OleDb.1;Data Source=$Workbook$;Location=GetQuoteParams;Extended Properties=&quot;&quot;" command="SELECT * FROM [GetQuoteParam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<sst xmlns="http://schemas.openxmlformats.org/spreadsheetml/2006/main" count="33" uniqueCount="26">
  <si>
    <t>Qty</t>
  </si>
  <si>
    <t>U/M</t>
  </si>
  <si>
    <t>Unit price</t>
  </si>
  <si>
    <t>PartID</t>
  </si>
  <si>
    <t>Description</t>
  </si>
  <si>
    <t>Total price</t>
  </si>
  <si>
    <t>Quote</t>
  </si>
  <si>
    <t>EA</t>
  </si>
  <si>
    <t>Total</t>
  </si>
  <si>
    <t>Quote no</t>
  </si>
  <si>
    <t>Quote date</t>
  </si>
  <si>
    <t>Quote file</t>
  </si>
  <si>
    <t>PDF filename</t>
  </si>
  <si>
    <t>Prices excl GST</t>
  </si>
  <si>
    <t>D:\d\Mag\FreeTips\Tip1090\Quote1.pdf</t>
  </si>
  <si>
    <t>44556</t>
  </si>
  <si>
    <t>ER10008255K</t>
  </si>
  <si>
    <t>Access System Complete Complete Front access system to suit AB200 Comes with emergency egress gate Single stage hydraulic system integrated with platform</t>
  </si>
  <si>
    <t>ER10001105</t>
  </si>
  <si>
    <t>Mounting Plate E-Stop and Lighting Mounting Plate Plate 5mm St Gr250 Pln ** Cut only (ACE will machine elsewhere) **</t>
  </si>
  <si>
    <t>ER10001798K</t>
  </si>
  <si>
    <t>Wheel Motor Cover Group AC3 Trucks Wheel Motor Cover Group</t>
  </si>
  <si>
    <t>E50001509</t>
  </si>
  <si>
    <t>Label. Label, Danger, High Voltage, 2600 Volts, Isolate elsewhere before removing cover. ICON IM-3215B Vinyl 155 x 96mm. Black text on white background 1/04/2026 AC3 Trucks Wheel Motor Cover Group</t>
  </si>
  <si>
    <t>ER10000118K</t>
  </si>
  <si>
    <t>Cover Group High Voltage GGS2HP Cover group to suit GG1HP high voltage rectifier cabinet Current Mining Assy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</si>
</sst>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 #,##0_);_(* \(#,##0\);_(* &quot;-&quot;??_);_(@_)"/>
    <numFmt numFmtId="165" formatCode="m/d/yyyy"/>
  </numFmts>
  <fonts count="6" x14ac:knownFonts="1">
    <font>
      <sz val="12"/>
      <color theme="1"/>
      <name val="Aptos Narrow"/>
      <family val="2"/>
      <scheme val="minor"/>
    </font>
    <font>
      <sz val="12"/>
      <color theme="1"/>
      <name val="Aptos Narrow"/>
      <family val="2"/>
      <scheme val="minor"/>
    </font>
    <font>
      <b/>
      <sz val="12"/>
      <color theme="1"/>
      <name val="Aptos Narrow"/>
      <family val="2"/>
      <scheme val="minor"/>
    </font>
    <font>
      <b/>
      <sz val="16"/>
      <color theme="1"/>
      <name val="Aptos Narrow"/>
      <family val="2"/>
      <scheme val="minor"/>
    </font>
    <font>
      <b/>
      <sz val="9"/>
      <color indexed="81"/>
      <name val="Tahoma"/>
      <family val="2"/>
    </font>
    <font>
      <sz val="12"/>
      <color rgb="FF0070C0"/>
      <name val="Aptos Narrow"/>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44" fontId="1" fillId="0" borderId="0" applyFont="0" applyFill="0" applyBorder="0" applyAlignment="0" applyProtection="0"/>
  </cellStyleXfs>
  <cellXfs count="15">
    <xf numFmtId="0" fontId="0" fillId="0" borderId="0" xfId="0"/>
    <xf numFmtId="0" fontId="2" fillId="0" borderId="0" xfId="0" applyFont="1"/>
    <xf numFmtId="164" fontId="0" fillId="0" borderId="0" xfId="1" applyNumberFormat="1" applyFont="1"/>
    <xf numFmtId="44" fontId="0" fillId="0" borderId="0" xfId="2" applyFont="1"/>
    <xf numFmtId="14" fontId="0" fillId="0" borderId="0" xfId="0" applyNumberFormat="1"/>
    <xf numFmtId="165" fontId="0" fillId="0" borderId="0" xfId="0" applyNumberFormat="1"/>
    <xf numFmtId="0" fontId="1" fillId="0" borderId="0" xfId="0" applyFont="1"/>
    <xf numFmtId="44" fontId="2" fillId="0" borderId="0" xfId="0" applyNumberFormat="1" applyFont="1"/>
    <xf numFmtId="0" fontId="0" fillId="0" borderId="0" xfId="0" applyAlignment="1">
      <alignment wrapText="1"/>
    </xf>
    <xf numFmtId="0" fontId="3" fillId="0" borderId="0" xfId="0" applyFont="1"/>
    <xf numFmtId="0" fontId="0" fillId="0" borderId="0" xfId="0" applyAlignment="1">
      <alignment horizontal="left"/>
    </xf>
    <xf numFmtId="14" fontId="0" fillId="0" borderId="0" xfId="0" applyNumberFormat="1" applyAlignment="1">
      <alignment horizontal="left"/>
    </xf>
    <xf numFmtId="44" fontId="0" fillId="0" borderId="0" xfId="0" applyNumberFormat="1"/>
    <xf numFmtId="0" fontId="0" fillId="0" borderId="0" xfId="0" applyAlignment="1">
      <alignment horizontal="right"/>
    </xf>
    <xf numFmtId="14" fontId="5" fillId="0" borderId="0" xfId="0" applyNumberFormat="1" applyFont="1" applyAlignment="1">
      <alignment horizontal="left"/>
    </xf>
  </cellXfs>
  <cellStyles count="3">
    <cellStyle name="Comma" xfId="1" builtinId="3"/>
    <cellStyle name="Currency" xfId="2" builtinId="4"/>
    <cellStyle name="Normal" xfId="0" builtinId="0"/>
  </cellStyles>
  <dxfs count="11">
    <dxf>
      <numFmt numFmtId="34" formatCode="_(&quot;$&quot;* #,##0.00_);_(&quot;$&quot;* \(#,##0.00\);_(&quot;$&quot;* &quot;-&quot;??_);_(@_)"/>
    </dxf>
    <dxf>
      <font>
        <b val="0"/>
        <i val="0"/>
        <strike val="0"/>
        <condense val="0"/>
        <extend val="0"/>
        <outline val="0"/>
        <shadow val="0"/>
        <u val="none"/>
        <vertAlign val="baseline"/>
        <sz val="12"/>
        <color theme="1"/>
        <name val="Aptos Narrow"/>
        <family val="2"/>
        <scheme val="minor"/>
      </font>
    </dxf>
    <dxf>
      <numFmt numFmtId="164" formatCode="_(* #,##0_);_(* \(#,##0\);_(* &quot;-&quot;??_);_(@_)"/>
    </dxf>
    <dxf>
      <font>
        <b val="0"/>
        <i val="0"/>
        <strike val="0"/>
        <condense val="0"/>
        <extend val="0"/>
        <outline val="0"/>
        <shadow val="0"/>
        <u val="none"/>
        <vertAlign val="baseline"/>
        <sz val="12"/>
        <color theme="1"/>
        <name val="Aptos Narrow"/>
        <family val="2"/>
        <scheme val="minor"/>
      </font>
    </dxf>
    <dxf>
      <numFmt numFmtId="0" formatCode="Genera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19" formatCode="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9525</xdr:colOff>
      <xdr:row>21</xdr:row>
      <xdr:rowOff>9525</xdr:rowOff>
    </xdr:to>
    <xdr:sp macro="" textlink="">
      <xdr:nvSpPr>
        <xdr:cNvPr id="2" name="TextBox 1">
          <a:extLst>
            <a:ext uri="{FF2B5EF4-FFF2-40B4-BE49-F238E27FC236}">
              <a16:creationId xmlns:a16="http://schemas.microsoft.com/office/drawing/2014/main" id="{A0BB6DC7-DC1F-4CC3-A4ED-16D9C96E54E0}"/>
            </a:ext>
          </a:extLst>
        </xdr:cNvPr>
        <xdr:cNvSpPr txBox="1"/>
      </xdr:nvSpPr>
      <xdr:spPr>
        <a:xfrm>
          <a:off x="0" y="0"/>
          <a:ext cx="6181725" cy="4210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NZ" sz="1100" b="0" i="0">
              <a:solidFill>
                <a:schemeClr val="dk1"/>
              </a:solidFill>
              <a:effectLst/>
              <a:latin typeface="+mn-lt"/>
              <a:ea typeface="+mn-ea"/>
              <a:cs typeface="+mn-cs"/>
            </a:rPr>
            <a:t>Create a macro to prompt for selection of PDF file and put the selected filename and path in the cell named deQuoteFilename</a:t>
          </a:r>
          <a:endParaRPr lang="en-NZ" sz="1600"/>
        </a:p>
        <a:p>
          <a:pPr marL="0" marR="0" lvl="0" indent="0" defTabSz="914400" eaLnBrk="1" fontAlgn="auto" latinLnBrk="0" hangingPunct="1">
            <a:lnSpc>
              <a:spcPct val="100000"/>
            </a:lnSpc>
            <a:spcBef>
              <a:spcPts val="0"/>
            </a:spcBef>
            <a:spcAft>
              <a:spcPts val="0"/>
            </a:spcAft>
            <a:buClrTx/>
            <a:buSzTx/>
            <a:buFontTx/>
            <a:buNone/>
            <a:tabLst/>
            <a:defRPr/>
          </a:pPr>
          <a:endParaRPr lang="en-NZ" sz="1600"/>
        </a:p>
        <a:p>
          <a:pPr marL="0" marR="0" lvl="0" indent="0" defTabSz="914400" eaLnBrk="1" fontAlgn="auto" latinLnBrk="0" hangingPunct="1">
            <a:lnSpc>
              <a:spcPct val="100000"/>
            </a:lnSpc>
            <a:spcBef>
              <a:spcPts val="0"/>
            </a:spcBef>
            <a:spcAft>
              <a:spcPts val="0"/>
            </a:spcAft>
            <a:buClrTx/>
            <a:buSzTx/>
            <a:buFontTx/>
            <a:buNone/>
            <a:tabLst/>
            <a:defRPr/>
          </a:pPr>
          <a:r>
            <a:rPr lang="en-NZ" sz="1100" b="0" i="0">
              <a:solidFill>
                <a:schemeClr val="dk1"/>
              </a:solidFill>
              <a:effectLst/>
              <a:latin typeface="+mn-lt"/>
              <a:ea typeface="+mn-ea"/>
              <a:cs typeface="+mn-cs"/>
            </a:rPr>
            <a:t>Write a Power Query to copy to the Advanced Editor that extracts the Quote no and Quote date from the PDF file like the one attached. The PDF path and file name is in the cell named deQuoteFilename</a:t>
          </a:r>
        </a:p>
        <a:p>
          <a:pPr marL="0" marR="0" lvl="0" indent="0" defTabSz="914400" eaLnBrk="1" fontAlgn="auto" latinLnBrk="0" hangingPunct="1">
            <a:lnSpc>
              <a:spcPct val="100000"/>
            </a:lnSpc>
            <a:spcBef>
              <a:spcPts val="0"/>
            </a:spcBef>
            <a:spcAft>
              <a:spcPts val="0"/>
            </a:spcAft>
            <a:buClrTx/>
            <a:buSzTx/>
            <a:buFontTx/>
            <a:buNone/>
            <a:tabLst/>
            <a:defRPr/>
          </a:pPr>
          <a:endParaRPr lang="en-NZ" sz="1100" b="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NZ" sz="1100" b="0" i="0">
              <a:solidFill>
                <a:schemeClr val="dk1"/>
              </a:solidFill>
              <a:effectLst/>
              <a:latin typeface="+mn-lt"/>
              <a:ea typeface="+mn-ea"/>
              <a:cs typeface="+mn-cs"/>
            </a:rPr>
            <a:t>Create a Power query to import this PDF and similar other PDFs that have the same layout structure. Return columns PartID, Description, U/M, Unit price, Qty. he PDF path and file name is in the cell named deQuoteFilename</a:t>
          </a:r>
        </a:p>
        <a:p>
          <a:pPr marL="0" marR="0" lvl="0" indent="0" defTabSz="914400" eaLnBrk="1" fontAlgn="auto" latinLnBrk="0" hangingPunct="1">
            <a:lnSpc>
              <a:spcPct val="100000"/>
            </a:lnSpc>
            <a:spcBef>
              <a:spcPts val="0"/>
            </a:spcBef>
            <a:spcAft>
              <a:spcPts val="0"/>
            </a:spcAft>
            <a:buClrTx/>
            <a:buSzTx/>
            <a:buFontTx/>
            <a:buNone/>
            <a:tabLst/>
            <a:defRPr/>
          </a:pPr>
          <a:endParaRPr lang="en-NZ" sz="1100" b="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NZ"/>
            <a:t>Create a macro that calls procedure SelectPDFFileForQuote and then refreshes the GetQuoteParams and GetQuoteData queries</a:t>
          </a:r>
        </a:p>
        <a:p>
          <a:pPr marL="0" marR="0" lvl="0" indent="0" defTabSz="914400" eaLnBrk="1" fontAlgn="auto" latinLnBrk="0" hangingPunct="1">
            <a:lnSpc>
              <a:spcPct val="100000"/>
            </a:lnSpc>
            <a:spcBef>
              <a:spcPts val="0"/>
            </a:spcBef>
            <a:spcAft>
              <a:spcPts val="0"/>
            </a:spcAft>
            <a:buClrTx/>
            <a:buSzTx/>
            <a:buFontTx/>
            <a:buNone/>
            <a:tabLst/>
            <a:defRPr/>
          </a:pPr>
          <a:endParaRPr lang="en-NZ" sz="1100" b="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NZ" sz="16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1" xr16:uid="{410FED00-F652-49F5-A304-6E43FFE05235}" autoFormatId="16" applyNumberFormats="0" applyBorderFormats="0" applyFontFormats="0" applyPatternFormats="0" applyAlignmentFormats="0" applyWidthHeightFormats="0">
  <queryTableRefresh nextId="4">
    <queryTableFields count="3">
      <queryTableField id="1" name="Quote no" tableColumnId="1"/>
      <queryTableField id="2" name="Quote date" tableColumnId="2"/>
      <queryTableField id="3" name="PDF filename"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EF485B-3C96-45B9-9916-51AF7537E2A0}" name="GetQuoteParams" displayName="GetQuoteParams" ref="A2:C3" tableType="queryTable" totalsRowShown="0">
  <autoFilter ref="A2:C3" xr:uid="{FAEF485B-3C96-45B9-9916-51AF7537E2A0}"/>
  <tableColumns count="3">
    <tableColumn id="1" xr3:uid="{E734E401-5E89-4780-887C-157C19BB0798}" uniqueName="1" name="Quote no" queryTableFieldId="1" dataDxfId="10"/>
    <tableColumn id="2" xr3:uid="{40C994F4-9FD1-47FA-B123-6A818053C3A2}" uniqueName="2" name="Quote date" queryTableFieldId="2" dataDxfId="9"/>
    <tableColumn id="3" xr3:uid="{1F0F770C-E0D4-4D7D-A9B0-F64FD8605C1B}" uniqueName="3" name="PDF filename" queryTableFieldId="3"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7DAE458-C7C3-404F-B98B-726CFD6DFFA6}" name="GetQuoteData" displayName="GetQuoteData" ref="A15:F21" totalsRowCount="1">
  <autoFilter ref="A15:F20" xr:uid="{77DAE458-C7C3-404F-B98B-726CFD6DFFA6}"/>
  <tableColumns count="6">
    <tableColumn id="1" xr3:uid="{D2E0535F-33E2-4FDD-A5B2-47B850238F14}" name="PartID" totalsRowLabel="Total" dataDxfId="7"/>
    <tableColumn id="2" xr3:uid="{4C4FAE6D-FB48-49E8-8D6E-2BEBFD251DF4}" name="Description" dataDxfId="6" totalsRowDxfId="5"/>
    <tableColumn id="3" xr3:uid="{0DE5F24A-7D40-4103-BF46-E230B10C86F9}" name="U/M" dataDxfId="4"/>
    <tableColumn id="4" xr3:uid="{08690917-A931-4BD1-982C-F63B0FF6868E}" name="Unit price" dataDxfId="3" dataCellStyle="Currency"/>
    <tableColumn id="5" xr3:uid="{ED31FEAF-4A13-410B-A4D7-62AE27E535C4}" name="Qty" dataDxfId="2" dataCellStyle="Comma"/>
    <tableColumn id="6" xr3:uid="{E609B177-A7A5-4111-A092-0912B2839AC2}" name="Total price" totalsRowFunction="sum" dataDxfId="1" totalsRowDxfId="0" dataCellStyle="Currency">
      <calculatedColumnFormula>GetQuoteData[[#This Row],[Unit price]]*GetQuoteData[[#This Row],[Qty]]</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33"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4942929-5F13-453A-9A76-25B3B917E6C5}">
  <we:reference id="WA200010215" version="1.0.0.0" store="Omex" storeType="OMEX"/>
  <we:alternateReferences>
    <we:reference id="WA200010215" version="1.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7D5C5-789A-4793-AA45-5956F57B8B9F}">
  <sheetPr codeName="Sheet1"/>
  <dimension ref="A2:G21"/>
  <sheetViews>
    <sheetView tabSelected="1" topLeftCell="A11" workbookViewId="0">
      <pane xSplit="2" ySplit="5" topLeftCell="C16" activePane="bottomRight" state="frozen"/>
      <selection activeCell="A11" sqref="A11"/>
      <selection pane="topRight" activeCell="C11" sqref="C11"/>
      <selection pane="bottomLeft" activeCell="A16" sqref="A16"/>
      <selection pane="bottomRight" activeCell="D16" sqref="D16"/>
    </sheetView>
  </sheetViews>
  <sheetFormatPr defaultRowHeight="15.75" x14ac:dyDescent="0.25"/>
  <cols>
    <col min="1" max="1" width="12.125" customWidth="1"/>
    <col min="2" max="2" width="40.625" customWidth="1"/>
    <col min="3" max="3" width="7.25" customWidth="1"/>
    <col min="4" max="4" width="11.625" customWidth="1"/>
    <col min="5" max="5" width="5.75" bestFit="1" customWidth="1"/>
    <col min="6" max="6" width="11.625" customWidth="1"/>
    <col min="7" max="7" width="11.375" bestFit="1" customWidth="1"/>
  </cols>
  <sheetData>
    <row r="2" spans="1:7" x14ac:dyDescent="0.25">
      <c r="A2" t="s">
        <v>9</v>
      </c>
      <c r="B2" t="s">
        <v>10</v>
      </c>
      <c r="C2" t="s">
        <v>12</v>
      </c>
    </row>
    <row r="3" spans="1:7" x14ac:dyDescent="0.25">
      <c r="A3" t="s">
        <v>15</v>
      </c>
      <c r="B3" s="4">
        <v>46113</v>
      </c>
      <c r="C3" t="s">
        <v>14</v>
      </c>
    </row>
    <row r="8" spans="1:7" x14ac:dyDescent="0.25">
      <c r="D8" s="6"/>
      <c r="E8" s="1"/>
      <c r="F8" s="7"/>
    </row>
    <row r="9" spans="1:7" x14ac:dyDescent="0.25">
      <c r="D9" s="6"/>
      <c r="E9" s="1"/>
      <c r="F9" s="7"/>
    </row>
    <row r="10" spans="1:7" x14ac:dyDescent="0.25">
      <c r="B10" s="4"/>
      <c r="D10" s="6"/>
      <c r="E10" s="1"/>
      <c r="F10" s="7"/>
    </row>
    <row r="11" spans="1:7" ht="21" x14ac:dyDescent="0.35">
      <c r="A11" s="9" t="s">
        <v>6</v>
      </c>
      <c r="D11" s="6"/>
      <c r="E11" s="1"/>
      <c r="F11" s="7"/>
    </row>
    <row r="12" spans="1:7" x14ac:dyDescent="0.25">
      <c r="A12" s="1" t="s">
        <v>9</v>
      </c>
      <c r="B12" s="10" t="str" cm="1">
        <f t="array" ref="B12">GetQuoteParams[Quote no]</f>
        <v>44556</v>
      </c>
      <c r="D12" s="3"/>
      <c r="G12" s="5"/>
    </row>
    <row r="13" spans="1:7" x14ac:dyDescent="0.25">
      <c r="A13" s="1" t="s">
        <v>10</v>
      </c>
      <c r="B13" s="11" cm="1">
        <f t="array" ref="B13">GetQuoteParams[Quote date]</f>
        <v>46113</v>
      </c>
      <c r="F13" s="13" t="s">
        <v>13</v>
      </c>
    </row>
    <row r="14" spans="1:7" x14ac:dyDescent="0.25">
      <c r="A14" s="1" t="s">
        <v>11</v>
      </c>
      <c r="B14" s="14" t="s">
        <v>14</v>
      </c>
    </row>
    <row r="15" spans="1:7" x14ac:dyDescent="0.25">
      <c r="A15" s="1" t="s">
        <v>3</v>
      </c>
      <c r="B15" t="s">
        <v>4</v>
      </c>
      <c r="C15" t="s">
        <v>1</v>
      </c>
      <c r="D15" t="s">
        <v>2</v>
      </c>
      <c r="E15" t="s">
        <v>0</v>
      </c>
      <c r="F15" t="s">
        <v>5</v>
      </c>
    </row>
    <row r="16" spans="1:7" ht="63" x14ac:dyDescent="0.25">
      <c r="A16" t="s">
        <v>16</v>
      </c>
      <c r="B16" s="8" t="s">
        <v>17</v>
      </c>
      <c r="C16" t="s">
        <v>7</v>
      </c>
      <c r="D16" s="3">
        <v>43750</v>
      </c>
      <c r="E16" s="2">
        <v>1</v>
      </c>
      <c r="F16" s="3">
        <f>GetQuoteData[[#This Row],[Unit price]]*GetQuoteData[[#This Row],[Qty]]</f>
        <v>43750</v>
      </c>
    </row>
    <row r="17" spans="1:6" ht="47.25" x14ac:dyDescent="0.25">
      <c r="A17" t="s">
        <v>18</v>
      </c>
      <c r="B17" s="8" t="s">
        <v>19</v>
      </c>
      <c r="C17" t="s">
        <v>7</v>
      </c>
      <c r="D17" s="3">
        <v>550</v>
      </c>
      <c r="E17" s="2">
        <v>1</v>
      </c>
      <c r="F17" s="3">
        <f>GetQuoteData[[#This Row],[Unit price]]*GetQuoteData[[#This Row],[Qty]]</f>
        <v>550</v>
      </c>
    </row>
    <row r="18" spans="1:6" ht="31.5" x14ac:dyDescent="0.25">
      <c r="A18" t="s">
        <v>20</v>
      </c>
      <c r="B18" s="8" t="s">
        <v>21</v>
      </c>
      <c r="C18" t="s">
        <v>7</v>
      </c>
      <c r="D18" s="3">
        <v>1945</v>
      </c>
      <c r="E18" s="2">
        <v>1</v>
      </c>
      <c r="F18" s="3">
        <f>GetQuoteData[[#This Row],[Unit price]]*GetQuoteData[[#This Row],[Qty]]</f>
        <v>1945</v>
      </c>
    </row>
    <row r="19" spans="1:6" ht="78.75" x14ac:dyDescent="0.25">
      <c r="A19" t="s">
        <v>22</v>
      </c>
      <c r="B19" s="8" t="s">
        <v>23</v>
      </c>
      <c r="C19" t="s">
        <v>7</v>
      </c>
      <c r="D19" s="3">
        <v>521</v>
      </c>
      <c r="E19" s="2">
        <v>1</v>
      </c>
      <c r="F19" s="3">
        <f>GetQuoteData[[#This Row],[Unit price]]*GetQuoteData[[#This Row],[Qty]]</f>
        <v>521</v>
      </c>
    </row>
    <row r="20" spans="1:6" ht="47.25" x14ac:dyDescent="0.25">
      <c r="A20" t="s">
        <v>24</v>
      </c>
      <c r="B20" s="8" t="s">
        <v>25</v>
      </c>
      <c r="C20" t="s">
        <v>7</v>
      </c>
      <c r="D20" s="3">
        <v>25</v>
      </c>
      <c r="E20" s="2">
        <v>1</v>
      </c>
      <c r="F20" s="3">
        <f>GetQuoteData[[#This Row],[Unit price]]*GetQuoteData[[#This Row],[Qty]]</f>
        <v>25</v>
      </c>
    </row>
    <row r="21" spans="1:6" x14ac:dyDescent="0.25">
      <c r="A21" t="s">
        <v>8</v>
      </c>
      <c r="B21" s="8"/>
      <c r="F21" s="12">
        <f>SUBTOTAL(109,GetQuoteData[Total price])</f>
        <v>46791</v>
      </c>
    </row>
  </sheetData>
  <pageMargins left="0.23622047244094491" right="0.23622047244094491" top="0.74803149606299213" bottom="0.74803149606299213" header="0.31496062992125984" footer="0.31496062992125984"/>
  <pageSetup paperSize="9" orientation="portrait" r:id="rId1"/>
  <legacy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0DB0F-7017-4A24-9E86-349228AB286A}">
  <sheetPr codeName="Sheet19"/>
  <dimension ref="A1"/>
  <sheetViews>
    <sheetView workbookViewId="0">
      <selection activeCell="B27" sqref="B27"/>
    </sheetView>
  </sheetViews>
  <sheetFormatPr defaultRowHeight="15.7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9A9D0D-D60D-4742-B252-A339F4410A6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Sheet1</vt:lpstr>
      <vt:lpstr>Prompts</vt:lpstr>
      <vt:lpstr>deQuoteFilename</vt:lpstr>
      <vt:lpstr>Sheet1!Print_Area</vt:lpstr>
      <vt:lpstr>Sheet1!Print_Titles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Oulton</dc:creator>
  <cp:lastModifiedBy>Paul Oulton</cp:lastModifiedBy>
  <cp:lastPrinted>2026-05-16T08:17:27Z</cp:lastPrinted>
  <dcterms:created xsi:type="dcterms:W3CDTF">2026-05-16T05:42:03Z</dcterms:created>
  <dcterms:modified xsi:type="dcterms:W3CDTF">2026-10-11T07:09:20Z</dcterms:modified>
</cp:coreProperties>
</file>